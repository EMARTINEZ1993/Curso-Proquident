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_Q1_2025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atá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A4C3A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A4C3A"/>
      </patternFill>
    </fill>
    <fill>
      <patternFill patternType="solid">
        <fgColor rgb="00E2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Monto por Área (Q1 2025)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'Resumen'!$A$4:$A$6</f>
            </numRef>
          </cat>
          <val>
            <numRef>
              <f>'Resumen'!$B$4:$B$6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Gastos" displayName="TablaGastos" ref="A1:I68" headerRowCount="1">
  <autoFilter ref="A1:I68"/>
  <tableColumns count="9">
    <tableColumn id="1" name="Fecha"/>
    <tableColumn id="2" name="Mes"/>
    <tableColumn id="3" name="Área"/>
    <tableColumn id="4" name="Centro de costo"/>
    <tableColumn id="5" name="Concepto"/>
    <tableColumn id="6" name="Proveedor"/>
    <tableColumn id="7" name="Monto (CLP)"/>
    <tableColumn id="8" name="Presupuesto (CLP)"/>
    <tableColumn id="9" name="Observacion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7" customWidth="1" min="4" max="4"/>
    <col width="23" customWidth="1" min="5" max="5"/>
    <col width="15" customWidth="1" min="6" max="6"/>
    <col width="13" customWidth="1" min="7" max="7"/>
    <col width="19" customWidth="1" min="8" max="8"/>
    <col width="28" customWidth="1" min="9" max="9"/>
  </cols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Área</t>
        </is>
      </c>
      <c r="D1" s="1" t="inlineStr">
        <is>
          <t>Centro de costo</t>
        </is>
      </c>
      <c r="E1" s="1" t="inlineStr">
        <is>
          <t>Concepto</t>
        </is>
      </c>
      <c r="F1" s="1" t="inlineStr">
        <is>
          <t>Proveedor</t>
        </is>
      </c>
      <c r="G1" s="1" t="inlineStr">
        <is>
          <t>Monto (CLP)</t>
        </is>
      </c>
      <c r="H1" s="1" t="inlineStr">
        <is>
          <t>Presupuesto (CLP)</t>
        </is>
      </c>
      <c r="I1" s="1" t="inlineStr">
        <is>
          <t>Observaciones</t>
        </is>
      </c>
    </row>
    <row r="2">
      <c r="A2" s="2" t="n">
        <v>45658</v>
      </c>
      <c r="B2" t="inlineStr">
        <is>
          <t>Enero</t>
        </is>
      </c>
      <c r="C2" t="inlineStr">
        <is>
          <t>Veterinaria</t>
        </is>
      </c>
      <c r="D2" t="inlineStr">
        <is>
          <t>Clínica</t>
        </is>
      </c>
      <c r="E2" t="inlineStr">
        <is>
          <t>Insumos clínicos</t>
        </is>
      </c>
      <c r="F2" t="inlineStr">
        <is>
          <t>VET-SALUD</t>
        </is>
      </c>
      <c r="G2" s="3" t="n">
        <v>3542251</v>
      </c>
      <c r="H2" s="3" t="n">
        <v>3450000</v>
      </c>
      <c r="I2" t="inlineStr"/>
    </row>
    <row r="3">
      <c r="A3" s="2" t="n">
        <v>45658</v>
      </c>
      <c r="B3" t="inlineStr">
        <is>
          <t>Enero</t>
        </is>
      </c>
      <c r="C3" t="inlineStr">
        <is>
          <t>Veterinaria</t>
        </is>
      </c>
      <c r="D3" t="inlineStr">
        <is>
          <t>Clínica</t>
        </is>
      </c>
      <c r="E3" t="inlineStr">
        <is>
          <t>Material quirúrgico</t>
        </is>
      </c>
      <c r="F3" t="inlineStr">
        <is>
          <t>ClinSupply</t>
        </is>
      </c>
      <c r="G3" s="3" t="n">
        <v>1007727</v>
      </c>
      <c r="H3" s="3" t="n">
        <v>980000</v>
      </c>
      <c r="I3" t="inlineStr"/>
    </row>
    <row r="4">
      <c r="A4" s="2" t="n">
        <v>45659</v>
      </c>
      <c r="B4" t="inlineStr">
        <is>
          <t>Enero</t>
        </is>
      </c>
      <c r="C4" t="inlineStr">
        <is>
          <t>Ventas</t>
        </is>
      </c>
      <c r="D4" t="inlineStr">
        <is>
          <t>Comercial</t>
        </is>
      </c>
      <c r="E4" t="inlineStr">
        <is>
          <t>Eventos</t>
        </is>
      </c>
      <c r="F4" t="inlineStr">
        <is>
          <t>TravelNow</t>
        </is>
      </c>
      <c r="G4" s="3" t="n">
        <v>420187</v>
      </c>
      <c r="H4" s="3" t="n">
        <v>405000</v>
      </c>
      <c r="I4" t="inlineStr"/>
    </row>
    <row r="5">
      <c r="A5" s="2" t="n">
        <v>45660</v>
      </c>
      <c r="B5" t="inlineStr">
        <is>
          <t>Enero</t>
        </is>
      </c>
      <c r="C5" t="inlineStr">
        <is>
          <t>Veterinaria</t>
        </is>
      </c>
      <c r="D5" t="inlineStr">
        <is>
          <t>Quirófano</t>
        </is>
      </c>
      <c r="E5" t="inlineStr">
        <is>
          <t>Vacunas</t>
        </is>
      </c>
      <c r="F5" t="inlineStr">
        <is>
          <t>Proveedor ABC</t>
        </is>
      </c>
      <c r="G5" s="3" t="n">
        <v>925795</v>
      </c>
      <c r="H5" s="3" t="n">
        <v>945000</v>
      </c>
      <c r="I5" t="inlineStr"/>
    </row>
    <row r="6">
      <c r="A6" s="2" t="n">
        <v>45660</v>
      </c>
      <c r="B6" t="inlineStr">
        <is>
          <t>Enero</t>
        </is>
      </c>
      <c r="C6" t="inlineStr">
        <is>
          <t>Ventas</t>
        </is>
      </c>
      <c r="D6" t="inlineStr">
        <is>
          <t>Canal</t>
        </is>
      </c>
      <c r="E6" t="inlineStr">
        <is>
          <t>Comisiones</t>
        </is>
      </c>
      <c r="F6" t="inlineStr">
        <is>
          <t>LogiTrans</t>
        </is>
      </c>
      <c r="G6" s="3" t="n">
        <v>765864</v>
      </c>
      <c r="H6" s="3" t="n">
        <v>770000</v>
      </c>
      <c r="I6" t="inlineStr"/>
    </row>
    <row r="7">
      <c r="A7" s="2" t="n">
        <v>45663</v>
      </c>
      <c r="B7" t="inlineStr">
        <is>
          <t>Enero</t>
        </is>
      </c>
      <c r="C7" t="inlineStr">
        <is>
          <t>Ventas</t>
        </is>
      </c>
      <c r="D7" t="inlineStr">
        <is>
          <t>Canal</t>
        </is>
      </c>
      <c r="E7" t="inlineStr">
        <is>
          <t>Transporte</t>
        </is>
      </c>
      <c r="F7" t="inlineStr">
        <is>
          <t>EventHub</t>
        </is>
      </c>
      <c r="G7" s="3" t="n">
        <v>292744</v>
      </c>
      <c r="H7" s="3" t="n">
        <v>292500</v>
      </c>
      <c r="I7" t="inlineStr">
        <is>
          <t>Revisar soporte / contrato</t>
        </is>
      </c>
    </row>
    <row r="8">
      <c r="A8" s="2" t="n">
        <v>45665</v>
      </c>
      <c r="B8" t="inlineStr">
        <is>
          <t>Enero</t>
        </is>
      </c>
      <c r="C8" t="inlineStr">
        <is>
          <t>Ventas</t>
        </is>
      </c>
      <c r="D8" t="inlineStr">
        <is>
          <t>Comercial</t>
        </is>
      </c>
      <c r="E8" t="inlineStr">
        <is>
          <t>Eventos</t>
        </is>
      </c>
      <c r="F8" t="inlineStr">
        <is>
          <t>LogiTrans</t>
        </is>
      </c>
      <c r="G8" s="3" t="n">
        <v>519631</v>
      </c>
      <c r="H8" s="3" t="n">
        <v>495000</v>
      </c>
      <c r="I8" t="inlineStr"/>
    </row>
    <row r="9">
      <c r="A9" s="2" t="n">
        <v>45666</v>
      </c>
      <c r="B9" t="inlineStr">
        <is>
          <t>Enero</t>
        </is>
      </c>
      <c r="C9" t="inlineStr">
        <is>
          <t>Ventas</t>
        </is>
      </c>
      <c r="D9" t="inlineStr">
        <is>
          <t>Marketing</t>
        </is>
      </c>
      <c r="E9" t="inlineStr">
        <is>
          <t>Transporte</t>
        </is>
      </c>
      <c r="F9" t="inlineStr">
        <is>
          <t>AdsMedia</t>
        </is>
      </c>
      <c r="G9" s="3" t="n">
        <v>367930</v>
      </c>
      <c r="H9" s="3" t="n">
        <v>357500</v>
      </c>
      <c r="I9" t="inlineStr"/>
    </row>
    <row r="10">
      <c r="A10" s="2" t="n">
        <v>45669</v>
      </c>
      <c r="B10" t="inlineStr">
        <is>
          <t>Enero</t>
        </is>
      </c>
      <c r="C10" t="inlineStr">
        <is>
          <t>Administración</t>
        </is>
      </c>
      <c r="D10" t="inlineStr">
        <is>
          <t>RR.HH.</t>
        </is>
      </c>
      <c r="E10" t="inlineStr">
        <is>
          <t>Servicios de limpieza</t>
        </is>
      </c>
      <c r="F10" t="inlineStr">
        <is>
          <t>CleanPro</t>
        </is>
      </c>
      <c r="G10" s="3" t="n">
        <v>896668</v>
      </c>
      <c r="H10" s="3" t="n">
        <v>920000</v>
      </c>
      <c r="I10" t="inlineStr"/>
    </row>
    <row r="11">
      <c r="A11" s="2" t="n">
        <v>45670</v>
      </c>
      <c r="B11" t="inlineStr">
        <is>
          <t>Enero</t>
        </is>
      </c>
      <c r="C11" t="inlineStr">
        <is>
          <t>Administración</t>
        </is>
      </c>
      <c r="D11" t="inlineStr">
        <is>
          <t>RR.HH.</t>
        </is>
      </c>
      <c r="E11" t="inlineStr">
        <is>
          <t>Papelería</t>
        </is>
      </c>
      <c r="F11" t="inlineStr">
        <is>
          <t>SoftWareCo</t>
        </is>
      </c>
      <c r="G11" s="3" t="n">
        <v>473392</v>
      </c>
      <c r="H11" s="3" t="n">
        <v>489500</v>
      </c>
      <c r="I11" t="inlineStr"/>
    </row>
    <row r="12">
      <c r="A12" s="2" t="n">
        <v>45670</v>
      </c>
      <c r="B12" t="inlineStr">
        <is>
          <t>Enero</t>
        </is>
      </c>
      <c r="C12" t="inlineStr">
        <is>
          <t>Ventas</t>
        </is>
      </c>
      <c r="D12" t="inlineStr">
        <is>
          <t>Comercial</t>
        </is>
      </c>
      <c r="E12" t="inlineStr">
        <is>
          <t>Viáticos</t>
        </is>
      </c>
      <c r="F12" t="inlineStr">
        <is>
          <t>EventHub</t>
        </is>
      </c>
      <c r="G12" s="3" t="n">
        <v>1180916</v>
      </c>
      <c r="H12" s="3" t="n">
        <v>1200000</v>
      </c>
      <c r="I12" t="inlineStr"/>
    </row>
    <row r="13">
      <c r="A13" s="2" t="n">
        <v>45672</v>
      </c>
      <c r="B13" t="inlineStr">
        <is>
          <t>Enero</t>
        </is>
      </c>
      <c r="C13" t="inlineStr">
        <is>
          <t>Administración</t>
        </is>
      </c>
      <c r="D13" t="inlineStr">
        <is>
          <t>Servicios</t>
        </is>
      </c>
      <c r="E13" t="inlineStr">
        <is>
          <t>Servicios públicos</t>
        </is>
      </c>
      <c r="F13" t="inlineStr">
        <is>
          <t>CleanPro</t>
        </is>
      </c>
      <c r="G13" s="3" t="n">
        <v>371812</v>
      </c>
      <c r="H13" s="3" t="n">
        <v>374000</v>
      </c>
      <c r="I13" t="inlineStr"/>
    </row>
    <row r="14">
      <c r="A14" s="2" t="n">
        <v>45675</v>
      </c>
      <c r="B14" t="inlineStr">
        <is>
          <t>Enero</t>
        </is>
      </c>
      <c r="C14" t="inlineStr">
        <is>
          <t>Ventas</t>
        </is>
      </c>
      <c r="D14" t="inlineStr">
        <is>
          <t>Canal</t>
        </is>
      </c>
      <c r="E14" t="inlineStr">
        <is>
          <t>Publicidad digital</t>
        </is>
      </c>
      <c r="F14" t="inlineStr">
        <is>
          <t>LogiTrans</t>
        </is>
      </c>
      <c r="G14" s="3" t="n">
        <v>680743</v>
      </c>
      <c r="H14" s="3" t="n">
        <v>675000</v>
      </c>
      <c r="I14" t="inlineStr">
        <is>
          <t>Revisar soporte / contrato</t>
        </is>
      </c>
    </row>
    <row r="15">
      <c r="A15" s="2" t="n">
        <v>45675</v>
      </c>
      <c r="B15" t="inlineStr">
        <is>
          <t>Enero</t>
        </is>
      </c>
      <c r="C15" t="inlineStr">
        <is>
          <t>Ventas</t>
        </is>
      </c>
      <c r="D15" t="inlineStr">
        <is>
          <t>Comercial</t>
        </is>
      </c>
      <c r="E15" t="inlineStr">
        <is>
          <t>Comisiones</t>
        </is>
      </c>
      <c r="F15" t="inlineStr">
        <is>
          <t>AdsMedia</t>
        </is>
      </c>
      <c r="G15" s="3" t="n">
        <v>653606</v>
      </c>
      <c r="H15" s="3" t="n">
        <v>630000</v>
      </c>
      <c r="I15" t="inlineStr"/>
    </row>
    <row r="16">
      <c r="A16" s="2" t="n">
        <v>45678</v>
      </c>
      <c r="B16" t="inlineStr">
        <is>
          <t>Enero</t>
        </is>
      </c>
      <c r="C16" t="inlineStr">
        <is>
          <t>Ventas</t>
        </is>
      </c>
      <c r="D16" t="inlineStr">
        <is>
          <t>Marketing</t>
        </is>
      </c>
      <c r="E16" t="inlineStr">
        <is>
          <t>Publicidad digital</t>
        </is>
      </c>
      <c r="F16" t="inlineStr">
        <is>
          <t>TravelNow</t>
        </is>
      </c>
      <c r="G16" s="3" t="n">
        <v>826070</v>
      </c>
      <c r="H16" s="3" t="n">
        <v>825000</v>
      </c>
      <c r="I16" t="inlineStr"/>
    </row>
    <row r="17">
      <c r="A17" s="2" t="n">
        <v>45679</v>
      </c>
      <c r="B17" t="inlineStr">
        <is>
          <t>Enero</t>
        </is>
      </c>
      <c r="C17" t="inlineStr">
        <is>
          <t>Administración</t>
        </is>
      </c>
      <c r="D17" t="inlineStr">
        <is>
          <t>Servicios</t>
        </is>
      </c>
      <c r="E17" t="inlineStr">
        <is>
          <t>Software</t>
        </is>
      </c>
      <c r="F17" t="inlineStr">
        <is>
          <t>CleanPro</t>
        </is>
      </c>
      <c r="G17" s="3" t="n">
        <v>1120156</v>
      </c>
      <c r="H17" s="3" t="n">
        <v>1100000</v>
      </c>
      <c r="I17" t="inlineStr"/>
    </row>
    <row r="18">
      <c r="A18" s="2" t="n">
        <v>45680</v>
      </c>
      <c r="B18" t="inlineStr">
        <is>
          <t>Enero</t>
        </is>
      </c>
      <c r="C18" t="inlineStr">
        <is>
          <t>Administración</t>
        </is>
      </c>
      <c r="D18" t="inlineStr">
        <is>
          <t>Servicios</t>
        </is>
      </c>
      <c r="E18" t="inlineStr">
        <is>
          <t>Papelería</t>
        </is>
      </c>
      <c r="F18" t="inlineStr">
        <is>
          <t>CleanPro</t>
        </is>
      </c>
      <c r="G18" s="3" t="n">
        <v>386987</v>
      </c>
      <c r="H18" s="3" t="n">
        <v>400500</v>
      </c>
      <c r="I18" t="inlineStr"/>
    </row>
    <row r="19">
      <c r="A19" s="2" t="n">
        <v>45680</v>
      </c>
      <c r="B19" t="inlineStr">
        <is>
          <t>Enero</t>
        </is>
      </c>
      <c r="C19" t="inlineStr">
        <is>
          <t>Veterinaria</t>
        </is>
      </c>
      <c r="D19" t="inlineStr">
        <is>
          <t>Clínica</t>
        </is>
      </c>
      <c r="E19" t="inlineStr">
        <is>
          <t>Antiparasitarios</t>
        </is>
      </c>
      <c r="F19" t="inlineStr">
        <is>
          <t>ClinSupply</t>
        </is>
      </c>
      <c r="G19" s="3" t="n">
        <v>1362210</v>
      </c>
      <c r="H19" s="3" t="n">
        <v>1350000</v>
      </c>
      <c r="I19" t="inlineStr"/>
    </row>
    <row r="20">
      <c r="A20" s="2" t="n">
        <v>45681</v>
      </c>
      <c r="B20" t="inlineStr">
        <is>
          <t>Enero</t>
        </is>
      </c>
      <c r="C20" t="inlineStr">
        <is>
          <t>Veterinaria</t>
        </is>
      </c>
      <c r="D20" t="inlineStr">
        <is>
          <t>Clínica</t>
        </is>
      </c>
      <c r="E20" t="inlineStr">
        <is>
          <t>Vacunas</t>
        </is>
      </c>
      <c r="F20" t="inlineStr">
        <is>
          <t>ClinSupply</t>
        </is>
      </c>
      <c r="G20" s="3" t="n">
        <v>1201542</v>
      </c>
      <c r="H20" s="3" t="n">
        <v>1155000</v>
      </c>
      <c r="I20" t="inlineStr"/>
    </row>
    <row r="21">
      <c r="A21" s="2" t="n">
        <v>45682</v>
      </c>
      <c r="B21" t="inlineStr">
        <is>
          <t>Enero</t>
        </is>
      </c>
      <c r="C21" t="inlineStr">
        <is>
          <t>Veterinaria</t>
        </is>
      </c>
      <c r="D21" t="inlineStr">
        <is>
          <t>Clínica</t>
        </is>
      </c>
      <c r="E21" t="inlineStr">
        <is>
          <t>Laboratorio externo</t>
        </is>
      </c>
      <c r="F21" t="inlineStr">
        <is>
          <t>ClinSupply</t>
        </is>
      </c>
      <c r="G21" s="3" t="n">
        <v>408496</v>
      </c>
      <c r="H21" s="3" t="n">
        <v>412500</v>
      </c>
      <c r="I21" t="inlineStr"/>
    </row>
    <row r="22">
      <c r="A22" s="2" t="n">
        <v>45684</v>
      </c>
      <c r="B22" t="inlineStr">
        <is>
          <t>Enero</t>
        </is>
      </c>
      <c r="C22" t="inlineStr">
        <is>
          <t>Administración</t>
        </is>
      </c>
      <c r="D22" t="inlineStr">
        <is>
          <t>TI</t>
        </is>
      </c>
      <c r="E22" t="inlineStr">
        <is>
          <t>Servicios públicos</t>
        </is>
      </c>
      <c r="F22" t="inlineStr">
        <is>
          <t>CleanPro</t>
        </is>
      </c>
      <c r="G22" s="3" t="n">
        <v>314919</v>
      </c>
      <c r="H22" s="3" t="n">
        <v>306000</v>
      </c>
      <c r="I22" t="inlineStr">
        <is>
          <t>Revisar soporte / contrato</t>
        </is>
      </c>
    </row>
    <row r="23">
      <c r="A23" s="2" t="n">
        <v>45685</v>
      </c>
      <c r="B23" t="inlineStr">
        <is>
          <t>Enero</t>
        </is>
      </c>
      <c r="C23" t="inlineStr">
        <is>
          <t>Administración</t>
        </is>
      </c>
      <c r="D23" t="inlineStr">
        <is>
          <t>TI</t>
        </is>
      </c>
      <c r="E23" t="inlineStr">
        <is>
          <t>Capacitación</t>
        </is>
      </c>
      <c r="F23" t="inlineStr">
        <is>
          <t>EduTrain</t>
        </is>
      </c>
      <c r="G23" s="3" t="n">
        <v>1177141</v>
      </c>
      <c r="H23" s="3" t="n">
        <v>1200000</v>
      </c>
      <c r="I23" t="inlineStr"/>
    </row>
    <row r="24">
      <c r="A24" s="2" t="n">
        <v>45685</v>
      </c>
      <c r="B24" t="inlineStr">
        <is>
          <t>Enero</t>
        </is>
      </c>
      <c r="C24" t="inlineStr">
        <is>
          <t>Veterinaria</t>
        </is>
      </c>
      <c r="D24" t="inlineStr">
        <is>
          <t>Bodega</t>
        </is>
      </c>
      <c r="E24" t="inlineStr">
        <is>
          <t>Laboratorio externo</t>
        </is>
      </c>
      <c r="F24" t="inlineStr">
        <is>
          <t>Proveedor ABC</t>
        </is>
      </c>
      <c r="G24" s="3" t="n">
        <v>334448</v>
      </c>
      <c r="H24" s="3" t="n">
        <v>337500</v>
      </c>
      <c r="I24" t="inlineStr"/>
    </row>
    <row r="25">
      <c r="A25" s="2" t="n">
        <v>45689</v>
      </c>
      <c r="B25" t="inlineStr">
        <is>
          <t>Febrero</t>
        </is>
      </c>
      <c r="C25" t="inlineStr">
        <is>
          <t>Administración</t>
        </is>
      </c>
      <c r="D25" t="inlineStr">
        <is>
          <t>Servicios</t>
        </is>
      </c>
      <c r="E25" t="inlineStr">
        <is>
          <t>Capacitación</t>
        </is>
      </c>
      <c r="F25" t="inlineStr">
        <is>
          <t>OfficePlus</t>
        </is>
      </c>
      <c r="G25" s="3" t="n">
        <v>625217</v>
      </c>
      <c r="H25" s="3" t="n">
        <v>550800</v>
      </c>
      <c r="I25" t="inlineStr"/>
    </row>
    <row r="26">
      <c r="A26" s="2" t="n">
        <v>45690</v>
      </c>
      <c r="B26" t="inlineStr">
        <is>
          <t>Febrero</t>
        </is>
      </c>
      <c r="C26" t="inlineStr">
        <is>
          <t>Ventas</t>
        </is>
      </c>
      <c r="D26" t="inlineStr">
        <is>
          <t>Comercial</t>
        </is>
      </c>
      <c r="E26" t="inlineStr">
        <is>
          <t>Comisiones</t>
        </is>
      </c>
      <c r="F26" t="inlineStr">
        <is>
          <t>LogiTrans</t>
        </is>
      </c>
      <c r="G26" s="3" t="n">
        <v>1425354</v>
      </c>
      <c r="H26" s="3" t="n">
        <v>1428000</v>
      </c>
      <c r="I26" t="inlineStr"/>
    </row>
    <row r="27">
      <c r="A27" s="2" t="n">
        <v>45692</v>
      </c>
      <c r="B27" t="inlineStr">
        <is>
          <t>Febrero</t>
        </is>
      </c>
      <c r="C27" t="inlineStr">
        <is>
          <t>Ventas</t>
        </is>
      </c>
      <c r="D27" t="inlineStr">
        <is>
          <t>Canal</t>
        </is>
      </c>
      <c r="E27" t="inlineStr">
        <is>
          <t>Publicidad digital</t>
        </is>
      </c>
      <c r="F27" t="inlineStr">
        <is>
          <t>AdsMedia</t>
        </is>
      </c>
      <c r="G27" s="3" t="n">
        <v>1508347</v>
      </c>
      <c r="H27" s="3" t="n">
        <v>1530000</v>
      </c>
      <c r="I27" t="inlineStr">
        <is>
          <t>Revisar soporte / contrato</t>
        </is>
      </c>
    </row>
    <row r="28">
      <c r="A28" s="2" t="n">
        <v>45694</v>
      </c>
      <c r="B28" t="inlineStr">
        <is>
          <t>Febrero</t>
        </is>
      </c>
      <c r="C28" t="inlineStr">
        <is>
          <t>Veterinaria</t>
        </is>
      </c>
      <c r="D28" t="inlineStr">
        <is>
          <t>Quirófano</t>
        </is>
      </c>
      <c r="E28" t="inlineStr">
        <is>
          <t>Material quirúrgico</t>
        </is>
      </c>
      <c r="F28" t="inlineStr">
        <is>
          <t>ClinSupply</t>
        </is>
      </c>
      <c r="G28" s="3" t="n">
        <v>1008573</v>
      </c>
      <c r="H28" s="3" t="n">
        <v>999600</v>
      </c>
      <c r="I28" t="inlineStr">
        <is>
          <t>Revisar soporte / contrato</t>
        </is>
      </c>
    </row>
    <row r="29">
      <c r="A29" s="2" t="n">
        <v>45695</v>
      </c>
      <c r="B29" t="inlineStr">
        <is>
          <t>Febrero</t>
        </is>
      </c>
      <c r="C29" t="inlineStr">
        <is>
          <t>Ventas</t>
        </is>
      </c>
      <c r="D29" t="inlineStr">
        <is>
          <t>Marketing</t>
        </is>
      </c>
      <c r="E29" t="inlineStr">
        <is>
          <t>Viáticos</t>
        </is>
      </c>
      <c r="F29" t="inlineStr">
        <is>
          <t>TravelNow</t>
        </is>
      </c>
      <c r="G29" s="3" t="n">
        <v>673809</v>
      </c>
      <c r="H29" s="3" t="n">
        <v>673200</v>
      </c>
      <c r="I29" t="inlineStr"/>
    </row>
    <row r="30">
      <c r="A30" s="2" t="n">
        <v>45695</v>
      </c>
      <c r="B30" t="inlineStr">
        <is>
          <t>Febrero</t>
        </is>
      </c>
      <c r="C30" t="inlineStr">
        <is>
          <t>Veterinaria</t>
        </is>
      </c>
      <c r="D30" t="inlineStr">
        <is>
          <t>Clínica</t>
        </is>
      </c>
      <c r="E30" t="inlineStr">
        <is>
          <t>Vacunas</t>
        </is>
      </c>
      <c r="F30" t="inlineStr">
        <is>
          <t>Proveedor ABC</t>
        </is>
      </c>
      <c r="G30" s="3" t="n">
        <v>1174418</v>
      </c>
      <c r="H30" s="3" t="n">
        <v>1178100</v>
      </c>
      <c r="I30" t="inlineStr"/>
    </row>
    <row r="31">
      <c r="A31" s="2" t="n">
        <v>45697</v>
      </c>
      <c r="B31" t="inlineStr">
        <is>
          <t>Febrero</t>
        </is>
      </c>
      <c r="C31" t="inlineStr">
        <is>
          <t>Ventas</t>
        </is>
      </c>
      <c r="D31" t="inlineStr">
        <is>
          <t>Comercial</t>
        </is>
      </c>
      <c r="E31" t="inlineStr">
        <is>
          <t>Viáticos</t>
        </is>
      </c>
      <c r="F31" t="inlineStr">
        <is>
          <t>LogiTrans</t>
        </is>
      </c>
      <c r="G31" s="3" t="n">
        <v>567480</v>
      </c>
      <c r="H31" s="3" t="n">
        <v>550800</v>
      </c>
      <c r="I31" t="inlineStr">
        <is>
          <t>Revisar soporte / contrato</t>
        </is>
      </c>
    </row>
    <row r="32">
      <c r="A32" s="2" t="n">
        <v>45699</v>
      </c>
      <c r="B32" t="inlineStr">
        <is>
          <t>Febrero</t>
        </is>
      </c>
      <c r="C32" t="inlineStr">
        <is>
          <t>Administración</t>
        </is>
      </c>
      <c r="D32" t="inlineStr">
        <is>
          <t>Servicios</t>
        </is>
      </c>
      <c r="E32" t="inlineStr">
        <is>
          <t>Capacitación</t>
        </is>
      </c>
      <c r="F32" t="inlineStr">
        <is>
          <t>CleanPro</t>
        </is>
      </c>
      <c r="G32" s="3" t="n">
        <v>760527</v>
      </c>
      <c r="H32" s="3" t="n">
        <v>673200</v>
      </c>
      <c r="I32" t="inlineStr"/>
    </row>
    <row r="33">
      <c r="A33" s="2" t="n">
        <v>45700</v>
      </c>
      <c r="B33" t="inlineStr">
        <is>
          <t>Febrero</t>
        </is>
      </c>
      <c r="C33" t="inlineStr">
        <is>
          <t>Administración</t>
        </is>
      </c>
      <c r="D33" t="inlineStr">
        <is>
          <t>Servicios</t>
        </is>
      </c>
      <c r="E33" t="inlineStr">
        <is>
          <t>Papelería</t>
        </is>
      </c>
      <c r="F33" t="inlineStr">
        <is>
          <t>EduTrain</t>
        </is>
      </c>
      <c r="G33" s="3" t="n">
        <v>932890</v>
      </c>
      <c r="H33" s="3" t="n">
        <v>907800</v>
      </c>
      <c r="I33" t="inlineStr"/>
    </row>
    <row r="34">
      <c r="A34" s="2" t="n">
        <v>45702</v>
      </c>
      <c r="B34" t="inlineStr">
        <is>
          <t>Febrero</t>
        </is>
      </c>
      <c r="C34" t="inlineStr">
        <is>
          <t>Administración</t>
        </is>
      </c>
      <c r="D34" t="inlineStr">
        <is>
          <t>Servicios</t>
        </is>
      </c>
      <c r="E34" t="inlineStr">
        <is>
          <t>Servicios públicos</t>
        </is>
      </c>
      <c r="F34" t="inlineStr">
        <is>
          <t>OfficePlus</t>
        </is>
      </c>
      <c r="G34" s="3" t="n">
        <v>390913</v>
      </c>
      <c r="H34" s="3" t="n">
        <v>381480</v>
      </c>
      <c r="I34" t="inlineStr"/>
    </row>
    <row r="35">
      <c r="A35" s="2" t="n">
        <v>45703</v>
      </c>
      <c r="B35" t="inlineStr">
        <is>
          <t>Febrero</t>
        </is>
      </c>
      <c r="C35" t="inlineStr">
        <is>
          <t>Ventas</t>
        </is>
      </c>
      <c r="D35" t="inlineStr">
        <is>
          <t>Canal</t>
        </is>
      </c>
      <c r="E35" t="inlineStr">
        <is>
          <t>Transporte</t>
        </is>
      </c>
      <c r="F35" t="inlineStr">
        <is>
          <t>LogiTrans</t>
        </is>
      </c>
      <c r="G35" s="3" t="n">
        <v>670395</v>
      </c>
      <c r="H35" s="3" t="n">
        <v>663000</v>
      </c>
      <c r="I35" t="inlineStr"/>
    </row>
    <row r="36">
      <c r="A36" s="2" t="n">
        <v>45704</v>
      </c>
      <c r="B36" t="inlineStr">
        <is>
          <t>Febrero</t>
        </is>
      </c>
      <c r="C36" t="inlineStr">
        <is>
          <t>Administración</t>
        </is>
      </c>
      <c r="D36" t="inlineStr">
        <is>
          <t>TI</t>
        </is>
      </c>
      <c r="E36" t="inlineStr">
        <is>
          <t>Software</t>
        </is>
      </c>
      <c r="F36" t="inlineStr">
        <is>
          <t>OfficePlus</t>
        </is>
      </c>
      <c r="G36" s="3" t="n">
        <v>538968</v>
      </c>
      <c r="H36" s="3" t="n">
        <v>504900</v>
      </c>
      <c r="I36" t="inlineStr"/>
    </row>
    <row r="37">
      <c r="A37" s="2" t="n">
        <v>45704</v>
      </c>
      <c r="B37" t="inlineStr">
        <is>
          <t>Febrero</t>
        </is>
      </c>
      <c r="C37" t="inlineStr">
        <is>
          <t>Veterinaria</t>
        </is>
      </c>
      <c r="D37" t="inlineStr">
        <is>
          <t>Bodega</t>
        </is>
      </c>
      <c r="E37" t="inlineStr">
        <is>
          <t>Vacunas</t>
        </is>
      </c>
      <c r="F37" t="inlineStr">
        <is>
          <t>BioVet</t>
        </is>
      </c>
      <c r="G37" s="3" t="n">
        <v>947025</v>
      </c>
      <c r="H37" s="3" t="n">
        <v>963900</v>
      </c>
      <c r="I37" t="inlineStr"/>
    </row>
    <row r="38">
      <c r="A38" s="2" t="n">
        <v>45705</v>
      </c>
      <c r="B38" t="inlineStr">
        <is>
          <t>Febrero</t>
        </is>
      </c>
      <c r="C38" t="inlineStr">
        <is>
          <t>Veterinaria</t>
        </is>
      </c>
      <c r="D38" t="inlineStr">
        <is>
          <t>Quirófano</t>
        </is>
      </c>
      <c r="E38" t="inlineStr">
        <is>
          <t>Insumos clínicos</t>
        </is>
      </c>
      <c r="F38" t="inlineStr">
        <is>
          <t>BioVet</t>
        </is>
      </c>
      <c r="G38" s="3" t="n">
        <v>3796342</v>
      </c>
      <c r="H38" s="3" t="n">
        <v>3519000</v>
      </c>
      <c r="I38" t="inlineStr">
        <is>
          <t>Revisar soporte / contrato</t>
        </is>
      </c>
    </row>
    <row r="39">
      <c r="A39" s="2" t="n">
        <v>45706</v>
      </c>
      <c r="B39" t="inlineStr">
        <is>
          <t>Febrero</t>
        </is>
      </c>
      <c r="C39" t="inlineStr">
        <is>
          <t>Administración</t>
        </is>
      </c>
      <c r="D39" t="inlineStr">
        <is>
          <t>Servicios</t>
        </is>
      </c>
      <c r="E39" t="inlineStr">
        <is>
          <t>Software</t>
        </is>
      </c>
      <c r="F39" t="inlineStr">
        <is>
          <t>EduTrain</t>
        </is>
      </c>
      <c r="G39" s="3" t="n">
        <v>613805</v>
      </c>
      <c r="H39" s="3" t="n">
        <v>617100</v>
      </c>
      <c r="I39" t="inlineStr"/>
    </row>
    <row r="40">
      <c r="A40" s="2" t="n">
        <v>45707</v>
      </c>
      <c r="B40" t="inlineStr">
        <is>
          <t>Febrero</t>
        </is>
      </c>
      <c r="C40" t="inlineStr">
        <is>
          <t>Veterinaria</t>
        </is>
      </c>
      <c r="D40" t="inlineStr">
        <is>
          <t>Clínica</t>
        </is>
      </c>
      <c r="E40" t="inlineStr">
        <is>
          <t>Antiparasitarios</t>
        </is>
      </c>
      <c r="F40" t="inlineStr">
        <is>
          <t>ClinSupply</t>
        </is>
      </c>
      <c r="G40" s="3" t="n">
        <v>819842</v>
      </c>
      <c r="H40" s="3" t="n">
        <v>757350</v>
      </c>
      <c r="I40" t="inlineStr">
        <is>
          <t>Revisar soporte / contrato</t>
        </is>
      </c>
    </row>
    <row r="41">
      <c r="A41" s="2" t="n">
        <v>45709</v>
      </c>
      <c r="B41" t="inlineStr">
        <is>
          <t>Febrero</t>
        </is>
      </c>
      <c r="C41" t="inlineStr">
        <is>
          <t>Administración</t>
        </is>
      </c>
      <c r="D41" t="inlineStr">
        <is>
          <t>RR.HH.</t>
        </is>
      </c>
      <c r="E41" t="inlineStr">
        <is>
          <t>Servicios públicos</t>
        </is>
      </c>
      <c r="F41" t="inlineStr">
        <is>
          <t>SoftWareCo</t>
        </is>
      </c>
      <c r="G41" s="3" t="n">
        <v>309313</v>
      </c>
      <c r="H41" s="3" t="n">
        <v>312120</v>
      </c>
      <c r="I41" t="inlineStr">
        <is>
          <t>Revisar soporte / contrato</t>
        </is>
      </c>
    </row>
    <row r="42">
      <c r="A42" s="2" t="n">
        <v>45713</v>
      </c>
      <c r="B42" t="inlineStr">
        <is>
          <t>Febrero</t>
        </is>
      </c>
      <c r="C42" t="inlineStr">
        <is>
          <t>Veterinaria</t>
        </is>
      </c>
      <c r="D42" t="inlineStr">
        <is>
          <t>Clínica</t>
        </is>
      </c>
      <c r="E42" t="inlineStr">
        <is>
          <t>Laboratorio externo</t>
        </is>
      </c>
      <c r="F42" t="inlineStr">
        <is>
          <t>BioVet</t>
        </is>
      </c>
      <c r="G42" s="3" t="n">
        <v>810219</v>
      </c>
      <c r="H42" s="3" t="n">
        <v>765000</v>
      </c>
      <c r="I42" t="inlineStr"/>
    </row>
    <row r="43">
      <c r="A43" s="2" t="n">
        <v>45713</v>
      </c>
      <c r="B43" t="inlineStr">
        <is>
          <t>Febrero</t>
        </is>
      </c>
      <c r="C43" t="inlineStr">
        <is>
          <t>Veterinaria</t>
        </is>
      </c>
      <c r="D43" t="inlineStr">
        <is>
          <t>Clínica</t>
        </is>
      </c>
      <c r="E43" t="inlineStr">
        <is>
          <t>Antiparasitarios</t>
        </is>
      </c>
      <c r="F43" t="inlineStr">
        <is>
          <t>VET-SALUD</t>
        </is>
      </c>
      <c r="G43" s="3" t="n">
        <v>643098</v>
      </c>
      <c r="H43" s="3" t="n">
        <v>619650</v>
      </c>
      <c r="I43" t="inlineStr"/>
    </row>
    <row r="44">
      <c r="A44" s="2" t="n">
        <v>45716</v>
      </c>
      <c r="B44" t="inlineStr">
        <is>
          <t>Febrero</t>
        </is>
      </c>
      <c r="C44" t="inlineStr">
        <is>
          <t>Administración</t>
        </is>
      </c>
      <c r="D44" t="inlineStr">
        <is>
          <t>Servicios</t>
        </is>
      </c>
      <c r="E44" t="inlineStr">
        <is>
          <t>Servicios de limpieza</t>
        </is>
      </c>
      <c r="F44" t="inlineStr">
        <is>
          <t>CleanPro</t>
        </is>
      </c>
      <c r="G44" s="3" t="n">
        <v>953439</v>
      </c>
      <c r="H44" s="3" t="n">
        <v>938400</v>
      </c>
      <c r="I44" t="inlineStr"/>
    </row>
    <row r="45">
      <c r="A45" s="2" t="n">
        <v>45716</v>
      </c>
      <c r="B45" t="inlineStr">
        <is>
          <t>Febrero</t>
        </is>
      </c>
      <c r="C45" t="inlineStr">
        <is>
          <t>Ventas</t>
        </is>
      </c>
      <c r="D45" t="inlineStr">
        <is>
          <t>Marketing</t>
        </is>
      </c>
      <c r="E45" t="inlineStr">
        <is>
          <t>Eventos</t>
        </is>
      </c>
      <c r="F45" t="inlineStr">
        <is>
          <t>LogiTrans</t>
        </is>
      </c>
      <c r="G45" s="3" t="n">
        <v>923402</v>
      </c>
      <c r="H45" s="3" t="n">
        <v>918000</v>
      </c>
      <c r="I45" t="inlineStr"/>
    </row>
    <row r="46">
      <c r="A46" s="2" t="n">
        <v>45718</v>
      </c>
      <c r="B46" t="inlineStr">
        <is>
          <t>Marzo</t>
        </is>
      </c>
      <c r="C46" t="inlineStr">
        <is>
          <t>Veterinaria</t>
        </is>
      </c>
      <c r="D46" t="inlineStr">
        <is>
          <t>Quirófano</t>
        </is>
      </c>
      <c r="E46" t="inlineStr">
        <is>
          <t>Insumos clínicos</t>
        </is>
      </c>
      <c r="F46" t="inlineStr">
        <is>
          <t>Proveedor ABC</t>
        </is>
      </c>
      <c r="G46" s="3" t="n">
        <v>2528739</v>
      </c>
      <c r="H46" s="3" t="n">
        <v>2011350</v>
      </c>
      <c r="I46" t="inlineStr"/>
    </row>
    <row r="47">
      <c r="A47" s="2" t="n">
        <v>45718</v>
      </c>
      <c r="B47" t="inlineStr">
        <is>
          <t>Marzo</t>
        </is>
      </c>
      <c r="C47" t="inlineStr">
        <is>
          <t>Veterinaria</t>
        </is>
      </c>
      <c r="D47" t="inlineStr">
        <is>
          <t>Bodega</t>
        </is>
      </c>
      <c r="E47" t="inlineStr">
        <is>
          <t>Insumos clínicos</t>
        </is>
      </c>
      <c r="F47" t="inlineStr">
        <is>
          <t>VET-SALUD</t>
        </is>
      </c>
      <c r="G47" s="3" t="n">
        <v>1937555</v>
      </c>
      <c r="H47" s="3" t="n">
        <v>1645650</v>
      </c>
      <c r="I47" t="inlineStr"/>
    </row>
    <row r="48">
      <c r="A48" s="2" t="n">
        <v>45718</v>
      </c>
      <c r="B48" t="inlineStr">
        <is>
          <t>Marzo</t>
        </is>
      </c>
      <c r="C48" t="inlineStr">
        <is>
          <t>Administración</t>
        </is>
      </c>
      <c r="D48" t="inlineStr">
        <is>
          <t>TI</t>
        </is>
      </c>
      <c r="E48" t="inlineStr">
        <is>
          <t>Software</t>
        </is>
      </c>
      <c r="F48" t="inlineStr">
        <is>
          <t>SoftWareCo</t>
        </is>
      </c>
      <c r="G48" s="3" t="n">
        <v>1166624</v>
      </c>
      <c r="H48" s="3" t="n">
        <v>1166000</v>
      </c>
      <c r="I48" t="inlineStr"/>
    </row>
    <row r="49">
      <c r="A49" s="2" t="n">
        <v>45719</v>
      </c>
      <c r="B49" t="inlineStr">
        <is>
          <t>Marzo</t>
        </is>
      </c>
      <c r="C49" t="inlineStr">
        <is>
          <t>Veterinaria</t>
        </is>
      </c>
      <c r="D49" t="inlineStr">
        <is>
          <t>Quirófano</t>
        </is>
      </c>
      <c r="E49" t="inlineStr">
        <is>
          <t>Antiparasitarios</t>
        </is>
      </c>
      <c r="F49" t="inlineStr">
        <is>
          <t>BioVet</t>
        </is>
      </c>
      <c r="G49" s="3" t="n">
        <v>836854</v>
      </c>
      <c r="H49" s="3" t="n">
        <v>787050</v>
      </c>
      <c r="I49" t="inlineStr">
        <is>
          <t>Revisar soporte / contrato</t>
        </is>
      </c>
    </row>
    <row r="50">
      <c r="A50" s="2" t="n">
        <v>45720</v>
      </c>
      <c r="B50" t="inlineStr">
        <is>
          <t>Marzo</t>
        </is>
      </c>
      <c r="C50" t="inlineStr">
        <is>
          <t>Ventas</t>
        </is>
      </c>
      <c r="D50" t="inlineStr">
        <is>
          <t>Comercial</t>
        </is>
      </c>
      <c r="E50" t="inlineStr">
        <is>
          <t>Transporte</t>
        </is>
      </c>
      <c r="F50" t="inlineStr">
        <is>
          <t>LogiTrans</t>
        </is>
      </c>
      <c r="G50" s="3" t="n">
        <v>728784</v>
      </c>
      <c r="H50" s="3" t="n">
        <v>689000</v>
      </c>
      <c r="I50" t="inlineStr"/>
    </row>
    <row r="51">
      <c r="A51" s="2" t="n">
        <v>45721</v>
      </c>
      <c r="B51" t="inlineStr">
        <is>
          <t>Marzo</t>
        </is>
      </c>
      <c r="C51" t="inlineStr">
        <is>
          <t>Administración</t>
        </is>
      </c>
      <c r="D51" t="inlineStr">
        <is>
          <t>TI</t>
        </is>
      </c>
      <c r="E51" t="inlineStr">
        <is>
          <t>Capacitación</t>
        </is>
      </c>
      <c r="F51" t="inlineStr">
        <is>
          <t>CleanPro</t>
        </is>
      </c>
      <c r="G51" s="3" t="n">
        <v>727528</v>
      </c>
      <c r="H51" s="3" t="n">
        <v>699600</v>
      </c>
      <c r="I51" t="inlineStr"/>
    </row>
    <row r="52">
      <c r="A52" s="2" t="n">
        <v>45721</v>
      </c>
      <c r="B52" t="inlineStr">
        <is>
          <t>Marzo</t>
        </is>
      </c>
      <c r="C52" t="inlineStr">
        <is>
          <t>Veterinaria</t>
        </is>
      </c>
      <c r="D52" t="inlineStr">
        <is>
          <t>Clínica</t>
        </is>
      </c>
      <c r="E52" t="inlineStr">
        <is>
          <t>Laboratorio externo</t>
        </is>
      </c>
      <c r="F52" t="inlineStr">
        <is>
          <t>VET-SALUD</t>
        </is>
      </c>
      <c r="G52" s="3" t="n">
        <v>498845</v>
      </c>
      <c r="H52" s="3" t="n">
        <v>437250</v>
      </c>
      <c r="I52" t="inlineStr"/>
    </row>
    <row r="53">
      <c r="A53" s="2" t="n">
        <v>45721</v>
      </c>
      <c r="B53" t="inlineStr">
        <is>
          <t>Marzo</t>
        </is>
      </c>
      <c r="C53" t="inlineStr">
        <is>
          <t>Ventas</t>
        </is>
      </c>
      <c r="D53" t="inlineStr">
        <is>
          <t>Comercial</t>
        </is>
      </c>
      <c r="E53" t="inlineStr">
        <is>
          <t>Viáticos</t>
        </is>
      </c>
      <c r="F53" t="inlineStr">
        <is>
          <t>EventHub</t>
        </is>
      </c>
      <c r="G53" s="3" t="n">
        <v>1354519</v>
      </c>
      <c r="H53" s="3" t="n">
        <v>1272000</v>
      </c>
      <c r="I53" t="inlineStr"/>
    </row>
    <row r="54">
      <c r="A54" s="2" t="n">
        <v>45722</v>
      </c>
      <c r="B54" t="inlineStr">
        <is>
          <t>Marzo</t>
        </is>
      </c>
      <c r="C54" t="inlineStr">
        <is>
          <t>Veterinaria</t>
        </is>
      </c>
      <c r="D54" t="inlineStr">
        <is>
          <t>Quirófano</t>
        </is>
      </c>
      <c r="E54" t="inlineStr">
        <is>
          <t>Laboratorio externo</t>
        </is>
      </c>
      <c r="F54" t="inlineStr">
        <is>
          <t>BioVet</t>
        </is>
      </c>
      <c r="G54" s="3" t="n">
        <v>381412</v>
      </c>
      <c r="H54" s="3" t="n">
        <v>357750</v>
      </c>
      <c r="I54" t="inlineStr"/>
    </row>
    <row r="55">
      <c r="A55" s="2" t="n">
        <v>45722</v>
      </c>
      <c r="B55" t="inlineStr">
        <is>
          <t>Marzo</t>
        </is>
      </c>
      <c r="C55" t="inlineStr">
        <is>
          <t>Ventas</t>
        </is>
      </c>
      <c r="D55" t="inlineStr">
        <is>
          <t>Comercial</t>
        </is>
      </c>
      <c r="E55" t="inlineStr">
        <is>
          <t>Comisiones</t>
        </is>
      </c>
      <c r="F55" t="inlineStr">
        <is>
          <t>LogiTrans</t>
        </is>
      </c>
      <c r="G55" s="3" t="n">
        <v>936469</v>
      </c>
      <c r="H55" s="3" t="n">
        <v>816200</v>
      </c>
      <c r="I55" t="inlineStr"/>
    </row>
    <row r="56">
      <c r="A56" s="2" t="n">
        <v>45723</v>
      </c>
      <c r="B56" t="inlineStr">
        <is>
          <t>Marzo</t>
        </is>
      </c>
      <c r="C56" t="inlineStr">
        <is>
          <t>Veterinaria</t>
        </is>
      </c>
      <c r="D56" t="inlineStr">
        <is>
          <t>Bodega</t>
        </is>
      </c>
      <c r="E56" t="inlineStr">
        <is>
          <t>Antiparasitarios</t>
        </is>
      </c>
      <c r="F56" t="inlineStr">
        <is>
          <t>VET-SALUD</t>
        </is>
      </c>
      <c r="G56" s="3" t="n">
        <v>709047</v>
      </c>
      <c r="H56" s="3" t="n">
        <v>643950</v>
      </c>
      <c r="I56" t="inlineStr"/>
    </row>
    <row r="57">
      <c r="A57" s="2" t="n">
        <v>45724</v>
      </c>
      <c r="B57" t="inlineStr">
        <is>
          <t>Marzo</t>
        </is>
      </c>
      <c r="C57" t="inlineStr">
        <is>
          <t>Veterinaria</t>
        </is>
      </c>
      <c r="D57" t="inlineStr">
        <is>
          <t>Quirófano</t>
        </is>
      </c>
      <c r="E57" t="inlineStr">
        <is>
          <t>Vacunas</t>
        </is>
      </c>
      <c r="F57" t="inlineStr">
        <is>
          <t>VET-SALUD</t>
        </is>
      </c>
      <c r="G57" s="3" t="n">
        <v>1232851</v>
      </c>
      <c r="H57" s="3" t="n">
        <v>1001700</v>
      </c>
      <c r="I57" t="inlineStr"/>
    </row>
    <row r="58">
      <c r="A58" s="2" t="n">
        <v>45728</v>
      </c>
      <c r="B58" t="inlineStr">
        <is>
          <t>Marzo</t>
        </is>
      </c>
      <c r="C58" t="inlineStr">
        <is>
          <t>Ventas</t>
        </is>
      </c>
      <c r="D58" t="inlineStr">
        <is>
          <t>Marketing</t>
        </is>
      </c>
      <c r="E58" t="inlineStr">
        <is>
          <t>Eventos</t>
        </is>
      </c>
      <c r="F58" t="inlineStr">
        <is>
          <t>TravelNow</t>
        </is>
      </c>
      <c r="G58" s="3" t="n">
        <v>1066337</v>
      </c>
      <c r="H58" s="3" t="n">
        <v>954000</v>
      </c>
      <c r="I58" t="inlineStr">
        <is>
          <t>Revisar soporte / contrato</t>
        </is>
      </c>
    </row>
    <row r="59">
      <c r="A59" s="2" t="n">
        <v>45733</v>
      </c>
      <c r="B59" t="inlineStr">
        <is>
          <t>Marzo</t>
        </is>
      </c>
      <c r="C59" t="inlineStr">
        <is>
          <t>Administración</t>
        </is>
      </c>
      <c r="D59" t="inlineStr">
        <is>
          <t>TI</t>
        </is>
      </c>
      <c r="E59" t="inlineStr">
        <is>
          <t>Servicios de limpieza</t>
        </is>
      </c>
      <c r="F59" t="inlineStr">
        <is>
          <t>OfficePlus</t>
        </is>
      </c>
      <c r="G59" s="3" t="n">
        <v>1047112</v>
      </c>
      <c r="H59" s="3" t="n">
        <v>975200</v>
      </c>
      <c r="I59" t="inlineStr"/>
    </row>
    <row r="60">
      <c r="A60" s="2" t="n">
        <v>45736</v>
      </c>
      <c r="B60" t="inlineStr">
        <is>
          <t>Marzo</t>
        </is>
      </c>
      <c r="C60" t="inlineStr">
        <is>
          <t>Administración</t>
        </is>
      </c>
      <c r="D60" t="inlineStr">
        <is>
          <t>RR.HH.</t>
        </is>
      </c>
      <c r="E60" t="inlineStr">
        <is>
          <t>Capacitación</t>
        </is>
      </c>
      <c r="F60" t="inlineStr">
        <is>
          <t>CleanPro</t>
        </is>
      </c>
      <c r="G60" s="3" t="n">
        <v>590598</v>
      </c>
      <c r="H60" s="3" t="n">
        <v>572400</v>
      </c>
      <c r="I60" t="inlineStr"/>
    </row>
    <row r="61">
      <c r="A61" s="2" t="n">
        <v>45736</v>
      </c>
      <c r="B61" t="inlineStr">
        <is>
          <t>Marzo</t>
        </is>
      </c>
      <c r="C61" t="inlineStr">
        <is>
          <t>Veterinaria</t>
        </is>
      </c>
      <c r="D61" t="inlineStr">
        <is>
          <t>Clínica</t>
        </is>
      </c>
      <c r="E61" t="inlineStr">
        <is>
          <t>Material quirúrgico</t>
        </is>
      </c>
      <c r="F61" t="inlineStr">
        <is>
          <t>Proveedor ABC</t>
        </is>
      </c>
      <c r="G61" s="3" t="n">
        <v>537911</v>
      </c>
      <c r="H61" s="3" t="n">
        <v>467460</v>
      </c>
      <c r="I61" t="inlineStr"/>
    </row>
    <row r="62">
      <c r="A62" s="2" t="n">
        <v>45737</v>
      </c>
      <c r="B62" t="inlineStr">
        <is>
          <t>Marzo</t>
        </is>
      </c>
      <c r="C62" t="inlineStr">
        <is>
          <t>Administración</t>
        </is>
      </c>
      <c r="D62" t="inlineStr">
        <is>
          <t>Servicios</t>
        </is>
      </c>
      <c r="E62" t="inlineStr">
        <is>
          <t>Papelería</t>
        </is>
      </c>
      <c r="F62" t="inlineStr">
        <is>
          <t>SoftWareCo</t>
        </is>
      </c>
      <c r="G62" s="3" t="n">
        <v>1018721</v>
      </c>
      <c r="H62" s="3" t="n">
        <v>943400</v>
      </c>
      <c r="I62" t="inlineStr">
        <is>
          <t>Revisar soporte / contrato</t>
        </is>
      </c>
    </row>
    <row r="63">
      <c r="A63" s="2" t="n">
        <v>45737</v>
      </c>
      <c r="B63" t="inlineStr">
        <is>
          <t>Marzo</t>
        </is>
      </c>
      <c r="C63" t="inlineStr">
        <is>
          <t>Veterinaria</t>
        </is>
      </c>
      <c r="D63" t="inlineStr">
        <is>
          <t>Bodega</t>
        </is>
      </c>
      <c r="E63" t="inlineStr">
        <is>
          <t>Material quirúrgico</t>
        </is>
      </c>
      <c r="F63" t="inlineStr">
        <is>
          <t>Proveedor ABC</t>
        </is>
      </c>
      <c r="G63" s="3" t="n">
        <v>597212</v>
      </c>
      <c r="H63" s="3" t="n">
        <v>571340</v>
      </c>
      <c r="I63" t="inlineStr"/>
    </row>
    <row r="64">
      <c r="A64" s="2" t="n">
        <v>45739</v>
      </c>
      <c r="B64" t="inlineStr">
        <is>
          <t>Marzo</t>
        </is>
      </c>
      <c r="C64" t="inlineStr">
        <is>
          <t>Administración</t>
        </is>
      </c>
      <c r="D64" t="inlineStr">
        <is>
          <t>TI</t>
        </is>
      </c>
      <c r="E64" t="inlineStr">
        <is>
          <t>Servicios públicos</t>
        </is>
      </c>
      <c r="F64" t="inlineStr">
        <is>
          <t>OfficePlus</t>
        </is>
      </c>
      <c r="G64" s="3" t="n">
        <v>422033</v>
      </c>
      <c r="H64" s="3" t="n">
        <v>396440</v>
      </c>
      <c r="I64" t="inlineStr"/>
    </row>
    <row r="65">
      <c r="A65" s="2" t="n">
        <v>45739</v>
      </c>
      <c r="B65" t="inlineStr">
        <is>
          <t>Marzo</t>
        </is>
      </c>
      <c r="C65" t="inlineStr">
        <is>
          <t>Administración</t>
        </is>
      </c>
      <c r="D65" t="inlineStr">
        <is>
          <t>Servicios</t>
        </is>
      </c>
      <c r="E65" t="inlineStr">
        <is>
          <t>Servicios públicos</t>
        </is>
      </c>
      <c r="F65" t="inlineStr">
        <is>
          <t>OfficePlus</t>
        </is>
      </c>
      <c r="G65" s="3" t="n">
        <v>368616</v>
      </c>
      <c r="H65" s="3" t="n">
        <v>324360</v>
      </c>
      <c r="I65" t="inlineStr">
        <is>
          <t>Revisar soporte / contrato</t>
        </is>
      </c>
    </row>
    <row r="66">
      <c r="A66" s="2" t="n">
        <v>45740</v>
      </c>
      <c r="B66" t="inlineStr">
        <is>
          <t>Marzo</t>
        </is>
      </c>
      <c r="C66" t="inlineStr">
        <is>
          <t>Ventas</t>
        </is>
      </c>
      <c r="D66" t="inlineStr">
        <is>
          <t>Marketing</t>
        </is>
      </c>
      <c r="E66" t="inlineStr">
        <is>
          <t>Comisiones</t>
        </is>
      </c>
      <c r="F66" t="inlineStr">
        <is>
          <t>TravelNow</t>
        </is>
      </c>
      <c r="G66" s="3" t="n">
        <v>760988</v>
      </c>
      <c r="H66" s="3" t="n">
        <v>667800</v>
      </c>
      <c r="I66" t="inlineStr"/>
    </row>
    <row r="67">
      <c r="A67" s="2" t="n">
        <v>45744</v>
      </c>
      <c r="B67" t="inlineStr">
        <is>
          <t>Marzo</t>
        </is>
      </c>
      <c r="C67" t="inlineStr">
        <is>
          <t>Ventas</t>
        </is>
      </c>
      <c r="D67" t="inlineStr">
        <is>
          <t>Marketing</t>
        </is>
      </c>
      <c r="E67" t="inlineStr">
        <is>
          <t>Publicidad digital</t>
        </is>
      </c>
      <c r="F67" t="inlineStr">
        <is>
          <t>TravelNow</t>
        </is>
      </c>
      <c r="G67" s="3" t="n">
        <v>1929575</v>
      </c>
      <c r="H67" s="3" t="n">
        <v>1590000</v>
      </c>
      <c r="I67" t="inlineStr"/>
    </row>
    <row r="68">
      <c r="A68" s="2" t="n">
        <v>45744</v>
      </c>
      <c r="B68" t="inlineStr">
        <is>
          <t>Marzo</t>
        </is>
      </c>
      <c r="C68" t="inlineStr">
        <is>
          <t>Veterinaria</t>
        </is>
      </c>
      <c r="D68" t="inlineStr">
        <is>
          <t>Quirófano</t>
        </is>
      </c>
      <c r="E68" t="inlineStr">
        <is>
          <t>Vacunas</t>
        </is>
      </c>
      <c r="F68" t="inlineStr">
        <is>
          <t>Proveedor ABC</t>
        </is>
      </c>
      <c r="G68" s="3" t="n">
        <v>1466540</v>
      </c>
      <c r="H68" s="3" t="n">
        <v>1224300</v>
      </c>
      <c r="I68" t="inlineStr"/>
    </row>
  </sheetData>
  <dataValidations count="3">
    <dataValidation sqref="C2:C500" showDropDown="0" showInputMessage="0" showErrorMessage="0" allowBlank="1" type="list">
      <formula1>=Catálogos!$A$2:$A$4</formula1>
    </dataValidation>
    <dataValidation sqref="E2:E500" showDropDown="0" showInputMessage="0" showErrorMessage="0" allowBlank="1" type="list">
      <formula1>=Catálogos!$C$2:$C$16</formula1>
    </dataValidation>
    <dataValidation sqref="F2:F500" showDropDown="0" showInputMessage="0" showErrorMessage="0" allowBlank="1" type="list">
      <formula1>=Catálogos!$E$2:$E$13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Resumen ejecutivo (Q1 2025)</t>
        </is>
      </c>
    </row>
    <row r="3">
      <c r="A3" s="5" t="inlineStr">
        <is>
          <t>Área</t>
        </is>
      </c>
      <c r="B3" s="5" t="inlineStr">
        <is>
          <t>Total Monto (CLP)</t>
        </is>
      </c>
      <c r="C3" s="5" t="inlineStr">
        <is>
          <t>Total Presupuesto (CLP)</t>
        </is>
      </c>
      <c r="D3" s="5" t="inlineStr">
        <is>
          <t>Varianza (CLP)</t>
        </is>
      </c>
      <c r="E3" s="5" t="inlineStr">
        <is>
          <t>Varianza (%)</t>
        </is>
      </c>
    </row>
    <row r="4">
      <c r="A4" t="inlineStr">
        <is>
          <t>Veterinaria</t>
        </is>
      </c>
      <c r="B4" s="3">
        <f>SUMIF(TablaGastos[Área],A4,TablaGastos[Monto (CLP)])</f>
        <v/>
      </c>
      <c r="C4" s="3">
        <f>SUMIF(TablaGastos[Área],A4,TablaGastos[Presupuesto (CLP)])</f>
        <v/>
      </c>
      <c r="D4" s="3">
        <f>B4-C4</f>
        <v/>
      </c>
      <c r="E4" s="6">
        <f>IFERROR(D4/C4,0)</f>
        <v/>
      </c>
    </row>
    <row r="5">
      <c r="A5" t="inlineStr">
        <is>
          <t>Administración</t>
        </is>
      </c>
      <c r="B5" s="3">
        <f>SUMIF(TablaGastos[Área],A5,TablaGastos[Monto (CLP)])</f>
        <v/>
      </c>
      <c r="C5" s="3">
        <f>SUMIF(TablaGastos[Área],A5,TablaGastos[Presupuesto (CLP)])</f>
        <v/>
      </c>
      <c r="D5" s="3">
        <f>B5-C5</f>
        <v/>
      </c>
      <c r="E5" s="6">
        <f>IFERROR(D5/C5,0)</f>
        <v/>
      </c>
    </row>
    <row r="6">
      <c r="A6" t="inlineStr">
        <is>
          <t>Ventas</t>
        </is>
      </c>
      <c r="B6" s="3">
        <f>SUMIF(TablaGastos[Área],A6,TablaGastos[Monto (CLP)])</f>
        <v/>
      </c>
      <c r="C6" s="3">
        <f>SUMIF(TablaGastos[Área],A6,TablaGastos[Presupuesto (CLP)])</f>
        <v/>
      </c>
      <c r="D6" s="3">
        <f>B6-C6</f>
        <v/>
      </c>
      <c r="E6" s="6">
        <f>IFERROR(D6/C6,0)</f>
        <v/>
      </c>
    </row>
    <row r="8">
      <c r="A8" s="7" t="inlineStr">
        <is>
          <t>TOTAL</t>
        </is>
      </c>
      <c r="B8" s="8">
        <f>SUM(B4:B6)</f>
        <v/>
      </c>
      <c r="C8" s="8">
        <f>SUM(C4:C6)</f>
        <v/>
      </c>
      <c r="D8" s="8">
        <f>B8-C8</f>
        <v/>
      </c>
      <c r="E8" s="9">
        <f>IFERROR(D8/C8,0)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Áreas</t>
        </is>
      </c>
      <c r="C1" t="inlineStr">
        <is>
          <t>Conceptos</t>
        </is>
      </c>
      <c r="E1" t="inlineStr">
        <is>
          <t>Proveedores</t>
        </is>
      </c>
    </row>
    <row r="2">
      <c r="A2" t="inlineStr">
        <is>
          <t>Veterinaria</t>
        </is>
      </c>
      <c r="C2" t="inlineStr">
        <is>
          <t>Antiparasitarios</t>
        </is>
      </c>
      <c r="E2" t="inlineStr">
        <is>
          <t>AdsMedia</t>
        </is>
      </c>
    </row>
    <row r="3">
      <c r="A3" t="inlineStr">
        <is>
          <t>Administración</t>
        </is>
      </c>
      <c r="C3" t="inlineStr">
        <is>
          <t>Capacitación</t>
        </is>
      </c>
      <c r="E3" t="inlineStr">
        <is>
          <t>BioVet</t>
        </is>
      </c>
    </row>
    <row r="4">
      <c r="A4" t="inlineStr">
        <is>
          <t>Ventas</t>
        </is>
      </c>
      <c r="C4" t="inlineStr">
        <is>
          <t>Comisiones</t>
        </is>
      </c>
      <c r="E4" t="inlineStr">
        <is>
          <t>CleanPro</t>
        </is>
      </c>
    </row>
    <row r="5">
      <c r="C5" t="inlineStr">
        <is>
          <t>Eventos</t>
        </is>
      </c>
      <c r="E5" t="inlineStr">
        <is>
          <t>ClinSupply</t>
        </is>
      </c>
    </row>
    <row r="6">
      <c r="C6" t="inlineStr">
        <is>
          <t>Insumos clínicos</t>
        </is>
      </c>
      <c r="E6" t="inlineStr">
        <is>
          <t>EduTrain</t>
        </is>
      </c>
    </row>
    <row r="7">
      <c r="C7" t="inlineStr">
        <is>
          <t>Laboratorio externo</t>
        </is>
      </c>
      <c r="E7" t="inlineStr">
        <is>
          <t>EventHub</t>
        </is>
      </c>
    </row>
    <row r="8">
      <c r="C8" t="inlineStr">
        <is>
          <t>Material quirúrgico</t>
        </is>
      </c>
      <c r="E8" t="inlineStr">
        <is>
          <t>LogiTrans</t>
        </is>
      </c>
    </row>
    <row r="9">
      <c r="C9" t="inlineStr">
        <is>
          <t>Papelería</t>
        </is>
      </c>
      <c r="E9" t="inlineStr">
        <is>
          <t>OfficePlus</t>
        </is>
      </c>
    </row>
    <row r="10">
      <c r="C10" t="inlineStr">
        <is>
          <t>Publicidad digital</t>
        </is>
      </c>
      <c r="E10" t="inlineStr">
        <is>
          <t>Proveedor ABC</t>
        </is>
      </c>
    </row>
    <row r="11">
      <c r="C11" t="inlineStr">
        <is>
          <t>Servicios de limpieza</t>
        </is>
      </c>
      <c r="E11" t="inlineStr">
        <is>
          <t>SoftWareCo</t>
        </is>
      </c>
    </row>
    <row r="12">
      <c r="C12" t="inlineStr">
        <is>
          <t>Servicios públicos</t>
        </is>
      </c>
      <c r="E12" t="inlineStr">
        <is>
          <t>TravelNow</t>
        </is>
      </c>
    </row>
    <row r="13">
      <c r="C13" t="inlineStr">
        <is>
          <t>Software</t>
        </is>
      </c>
      <c r="E13" t="inlineStr">
        <is>
          <t>VET-SALUD</t>
        </is>
      </c>
    </row>
    <row r="14">
      <c r="C14" t="inlineStr">
        <is>
          <t>Transporte</t>
        </is>
      </c>
    </row>
    <row r="15">
      <c r="C15" t="inlineStr">
        <is>
          <t>Vacunas</t>
        </is>
      </c>
    </row>
    <row r="16">
      <c r="C16" t="inlineStr">
        <is>
          <t>Viáticos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usar este archivo (Ejercicio 2)</t>
        </is>
      </c>
    </row>
    <row r="3">
      <c r="A3" s="10" t="inlineStr">
        <is>
          <t>1) Agrega filas nuevas en la tabla 'TablaGastos' (hoja Gastos_Q1_2025).</t>
        </is>
      </c>
    </row>
    <row r="4">
      <c r="A4" s="10" t="inlineStr">
        <is>
          <t>2) Usa las listas desplegables para Área, Concepto y Proveedor (validación de datos).</t>
        </is>
      </c>
    </row>
    <row r="5">
      <c r="A5" s="10" t="inlineStr">
        <is>
          <t>3) Ve a la hoja 'Resumen' para ver totales y varianza vs presupuesto.</t>
        </is>
      </c>
    </row>
    <row r="6">
      <c r="A6" s="10" t="inlineStr">
        <is>
          <t>4) En Copilot Chat → Agentes → Agente Finanzas, pega o referencia la estructura de la tabla para pedir análisis.</t>
        </is>
      </c>
    </row>
    <row r="7">
      <c r="A7" s="10" t="n"/>
    </row>
    <row r="8">
      <c r="A8" s="10" t="inlineStr">
        <is>
          <t>Sugerencia de prompt: 'Identifica Top 3 conceptos con crecimiento anómalo por área (Marzo vs Enero) y recomienda acciones.'</t>
        </is>
      </c>
    </row>
    <row r="9">
      <c r="A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Luz Eliana Martinez Ramos</dc:creator>
  <dcterms:created xsi:type="dcterms:W3CDTF">2026-05-01T23:59:49.6680033Z</dcterms:created>
  <dcterms:modified xsi:type="dcterms:W3CDTF">2026-05-01T23:59:49.6680033Z</dcterms:modified>
  <lastModifiedBy>Luz Eliana Martinez Ramos</lastModifiedBy>
</coreProperties>
</file>